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T:\Franco Ing\VBA files FF\Fit Data to Polynomial Eq\"/>
    </mc:Choice>
  </mc:AlternateContent>
  <bookViews>
    <workbookView xWindow="0" yWindow="0" windowWidth="23040" windowHeight="8364"/>
  </bookViews>
  <sheets>
    <sheet name="Get curve" sheetId="4" r:id="rId1"/>
  </sheets>
  <externalReferences>
    <externalReference r:id="rId2"/>
  </externalReferences>
  <calcPr calcId="152511" refMode="R1C1"/>
</workbook>
</file>

<file path=xl/calcChain.xml><?xml version="1.0" encoding="utf-8"?>
<calcChain xmlns="http://schemas.openxmlformats.org/spreadsheetml/2006/main">
  <c r="J3" i="4" l="1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F10" i="4"/>
  <c r="F9" i="4"/>
  <c r="F8" i="4"/>
  <c r="F7" i="4"/>
  <c r="F6" i="4"/>
</calcChain>
</file>

<file path=xl/sharedStrings.xml><?xml version="1.0" encoding="utf-8"?>
<sst xmlns="http://schemas.openxmlformats.org/spreadsheetml/2006/main" count="12" uniqueCount="10">
  <si>
    <t>b</t>
  </si>
  <si>
    <t>Y</t>
  </si>
  <si>
    <t>X</t>
  </si>
  <si>
    <t>Polynomial Curve</t>
  </si>
  <si>
    <t>Order</t>
  </si>
  <si>
    <t>c_1</t>
  </si>
  <si>
    <t>c_2</t>
  </si>
  <si>
    <t>c_3</t>
  </si>
  <si>
    <t>c_4</t>
  </si>
  <si>
    <t>Polynomial Coefficients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</si>
</sst>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9" formatCode="0.00000"/>
    <numFmt numFmtId="170" formatCode="0.0000"/>
  </numFmts>
  <fonts count="4" x14ac:knownFonts="1">
    <font>
      <sz val="9"/>
      <color theme="1"/>
      <name val="Calibri"/>
      <family val="2"/>
    </font>
    <font>
      <b/>
      <sz val="9"/>
      <color theme="1"/>
      <name val="Calibri"/>
      <family val="2"/>
    </font>
    <font>
      <sz val="8"/>
      <name val="Arial"/>
      <family val="2"/>
    </font>
    <font>
      <sz val="9"/>
      <color rgb="FF0000FF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2">
    <xf numFmtId="0" fontId="0" fillId="0" borderId="0" xfId="0"/>
    <xf numFmtId="0" fontId="2" fillId="0" borderId="0" xfId="1" applyFont="1" applyBorder="1"/>
    <xf numFmtId="0" fontId="1" fillId="0" borderId="1" xfId="0" applyFont="1" applyBorder="1" applyAlignment="1">
      <alignment horizontal="right"/>
    </xf>
    <xf numFmtId="0" fontId="0" fillId="0" borderId="0" xfId="0" applyBorder="1"/>
    <xf numFmtId="0" fontId="2" fillId="0" borderId="0" xfId="1" applyFont="1" applyFill="1" applyBorder="1"/>
    <xf numFmtId="0" fontId="1" fillId="2" borderId="2" xfId="0" applyFont="1" applyFill="1" applyBorder="1"/>
    <xf numFmtId="0" fontId="1" fillId="2" borderId="3" xfId="0" applyFont="1" applyFill="1" applyBorder="1" applyAlignment="1">
      <alignment horizontal="center"/>
    </xf>
    <xf numFmtId="0" fontId="3" fillId="0" borderId="0" xfId="0" applyFont="1" applyBorder="1"/>
    <xf numFmtId="0" fontId="3" fillId="0" borderId="1" xfId="0" applyFont="1" applyBorder="1"/>
    <xf numFmtId="0" fontId="0" fillId="0" borderId="1" xfId="0" applyBorder="1"/>
    <xf numFmtId="169" fontId="0" fillId="0" borderId="0" xfId="0" applyNumberFormat="1"/>
    <xf numFmtId="170" fontId="0" fillId="0" borderId="0" xfId="0" applyNumberForma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93370586741175E-2"/>
          <c:y val="0.17349081364829397"/>
          <c:w val="0.8661986707306748"/>
          <c:h val="0.76262997613103245"/>
        </c:manualLayout>
      </c:layout>
      <c:scatterChart>
        <c:scatterStyle val="lineMarker"/>
        <c:varyColors val="0"/>
        <c:ser>
          <c:idx val="0"/>
          <c:order val="0"/>
          <c:tx>
            <c:v>Original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solidFill>
                  <a:srgbClr val="C0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-0.18137414274828551"/>
                  <c:y val="-3.14210723659542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0000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BO"/>
                </a:p>
              </c:txPr>
            </c:trendlineLbl>
          </c:trendline>
          <c:xVal>
            <c:numRef>
              <c:f>'Get curve'!$B$3:$B$200</c:f>
              <c:numCache>
                <c:formatCode>0.00000</c:formatCode>
                <c:ptCount val="198"/>
                <c:pt idx="0">
                  <c:v>0.186501</c:v>
                </c:pt>
                <c:pt idx="1">
                  <c:v>1.36083</c:v>
                </c:pt>
                <c:pt idx="2">
                  <c:v>2.4746999999999999</c:v>
                </c:pt>
                <c:pt idx="3">
                  <c:v>4.2072500000000002</c:v>
                </c:pt>
                <c:pt idx="4">
                  <c:v>6.4349999999999996</c:v>
                </c:pt>
                <c:pt idx="5">
                  <c:v>7.9797599999999997</c:v>
                </c:pt>
                <c:pt idx="6">
                  <c:v>8.9688700000000008</c:v>
                </c:pt>
                <c:pt idx="7">
                  <c:v>10.761900000000001</c:v>
                </c:pt>
                <c:pt idx="8">
                  <c:v>11.9375</c:v>
                </c:pt>
                <c:pt idx="9">
                  <c:v>13.298299999999999</c:v>
                </c:pt>
                <c:pt idx="10">
                  <c:v>15.2225</c:v>
                </c:pt>
                <c:pt idx="11">
                  <c:v>16.215499999999999</c:v>
                </c:pt>
                <c:pt idx="12">
                  <c:v>17.3949</c:v>
                </c:pt>
                <c:pt idx="13">
                  <c:v>18.0779</c:v>
                </c:pt>
                <c:pt idx="14">
                  <c:v>19.257400000000001</c:v>
                </c:pt>
                <c:pt idx="15">
                  <c:v>20.562899999999999</c:v>
                </c:pt>
                <c:pt idx="16">
                  <c:v>22.119199999999999</c:v>
                </c:pt>
                <c:pt idx="17">
                  <c:v>23.674199999999999</c:v>
                </c:pt>
                <c:pt idx="18">
                  <c:v>25.170100000000001</c:v>
                </c:pt>
                <c:pt idx="19">
                  <c:v>27.1663</c:v>
                </c:pt>
                <c:pt idx="20">
                  <c:v>28.479500000000002</c:v>
                </c:pt>
                <c:pt idx="21">
                  <c:v>29.856999999999999</c:v>
                </c:pt>
              </c:numCache>
            </c:numRef>
          </c:xVal>
          <c:yVal>
            <c:numRef>
              <c:f>'Get curve'!$C$3:$C$200</c:f>
              <c:numCache>
                <c:formatCode>0.00000</c:formatCode>
                <c:ptCount val="198"/>
                <c:pt idx="0">
                  <c:v>6.8298200000000003E-2</c:v>
                </c:pt>
                <c:pt idx="1">
                  <c:v>1.29267</c:v>
                </c:pt>
                <c:pt idx="2">
                  <c:v>2.38117</c:v>
                </c:pt>
                <c:pt idx="3">
                  <c:v>4.0819200000000002</c:v>
                </c:pt>
                <c:pt idx="4">
                  <c:v>6.2589100000000002</c:v>
                </c:pt>
                <c:pt idx="5">
                  <c:v>7.8913599999999997</c:v>
                </c:pt>
                <c:pt idx="6">
                  <c:v>8.9116999999999997</c:v>
                </c:pt>
                <c:pt idx="7">
                  <c:v>10.7483</c:v>
                </c:pt>
                <c:pt idx="8">
                  <c:v>11.9048</c:v>
                </c:pt>
                <c:pt idx="9">
                  <c:v>13.2654</c:v>
                </c:pt>
                <c:pt idx="10">
                  <c:v>14.8308</c:v>
                </c:pt>
                <c:pt idx="11">
                  <c:v>15.647500000000001</c:v>
                </c:pt>
                <c:pt idx="12">
                  <c:v>16.6004</c:v>
                </c:pt>
                <c:pt idx="13">
                  <c:v>17.145</c:v>
                </c:pt>
                <c:pt idx="14">
                  <c:v>18.097899999999999</c:v>
                </c:pt>
                <c:pt idx="15">
                  <c:v>19.051100000000002</c:v>
                </c:pt>
                <c:pt idx="16">
                  <c:v>20.072700000000001</c:v>
                </c:pt>
                <c:pt idx="17">
                  <c:v>21.162199999999999</c:v>
                </c:pt>
                <c:pt idx="18">
                  <c:v>22.047899999999998</c:v>
                </c:pt>
                <c:pt idx="19">
                  <c:v>23.138400000000001</c:v>
                </c:pt>
                <c:pt idx="20">
                  <c:v>23.6843</c:v>
                </c:pt>
                <c:pt idx="21">
                  <c:v>24.162600000000001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679920"/>
        <c:axId val="303679360"/>
      </c:scatterChart>
      <c:valAx>
        <c:axId val="303679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303679360"/>
        <c:crosses val="autoZero"/>
        <c:crossBetween val="midCat"/>
      </c:valAx>
      <c:valAx>
        <c:axId val="30367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303679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7.8934891203115753E-2"/>
          <c:y val="2.9036004645760744E-2"/>
          <c:w val="0.87532469731606144"/>
          <c:h val="9.79972015693160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93370586741175E-2"/>
          <c:y val="0.14271151885830785"/>
          <c:w val="0.86715223097112859"/>
          <c:h val="0.80122324159021396"/>
        </c:manualLayout>
      </c:layout>
      <c:scatterChart>
        <c:scatterStyle val="lineMarker"/>
        <c:varyColors val="0"/>
        <c:ser>
          <c:idx val="0"/>
          <c:order val="0"/>
          <c:tx>
            <c:v>Original Data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'Get curve'!$B$3:$B$200</c:f>
              <c:numCache>
                <c:formatCode>0.00000</c:formatCode>
                <c:ptCount val="198"/>
                <c:pt idx="0">
                  <c:v>0.186501</c:v>
                </c:pt>
                <c:pt idx="1">
                  <c:v>1.36083</c:v>
                </c:pt>
                <c:pt idx="2">
                  <c:v>2.4746999999999999</c:v>
                </c:pt>
                <c:pt idx="3">
                  <c:v>4.2072500000000002</c:v>
                </c:pt>
                <c:pt idx="4">
                  <c:v>6.4349999999999996</c:v>
                </c:pt>
                <c:pt idx="5">
                  <c:v>7.9797599999999997</c:v>
                </c:pt>
                <c:pt idx="6">
                  <c:v>8.9688700000000008</c:v>
                </c:pt>
                <c:pt idx="7">
                  <c:v>10.761900000000001</c:v>
                </c:pt>
                <c:pt idx="8">
                  <c:v>11.9375</c:v>
                </c:pt>
                <c:pt idx="9">
                  <c:v>13.298299999999999</c:v>
                </c:pt>
                <c:pt idx="10">
                  <c:v>15.2225</c:v>
                </c:pt>
                <c:pt idx="11">
                  <c:v>16.215499999999999</c:v>
                </c:pt>
                <c:pt idx="12">
                  <c:v>17.3949</c:v>
                </c:pt>
                <c:pt idx="13">
                  <c:v>18.0779</c:v>
                </c:pt>
                <c:pt idx="14">
                  <c:v>19.257400000000001</c:v>
                </c:pt>
                <c:pt idx="15">
                  <c:v>20.562899999999999</c:v>
                </c:pt>
                <c:pt idx="16">
                  <c:v>22.119199999999999</c:v>
                </c:pt>
                <c:pt idx="17">
                  <c:v>23.674199999999999</c:v>
                </c:pt>
                <c:pt idx="18">
                  <c:v>25.170100000000001</c:v>
                </c:pt>
                <c:pt idx="19">
                  <c:v>27.1663</c:v>
                </c:pt>
                <c:pt idx="20">
                  <c:v>28.479500000000002</c:v>
                </c:pt>
                <c:pt idx="21">
                  <c:v>29.856999999999999</c:v>
                </c:pt>
              </c:numCache>
            </c:numRef>
          </c:xVal>
          <c:yVal>
            <c:numRef>
              <c:f>'Get curve'!$C$3:$C$200</c:f>
              <c:numCache>
                <c:formatCode>0.00000</c:formatCode>
                <c:ptCount val="198"/>
                <c:pt idx="0">
                  <c:v>6.8298200000000003E-2</c:v>
                </c:pt>
                <c:pt idx="1">
                  <c:v>1.29267</c:v>
                </c:pt>
                <c:pt idx="2">
                  <c:v>2.38117</c:v>
                </c:pt>
                <c:pt idx="3">
                  <c:v>4.0819200000000002</c:v>
                </c:pt>
                <c:pt idx="4">
                  <c:v>6.2589100000000002</c:v>
                </c:pt>
                <c:pt idx="5">
                  <c:v>7.8913599999999997</c:v>
                </c:pt>
                <c:pt idx="6">
                  <c:v>8.9116999999999997</c:v>
                </c:pt>
                <c:pt idx="7">
                  <c:v>10.7483</c:v>
                </c:pt>
                <c:pt idx="8">
                  <c:v>11.9048</c:v>
                </c:pt>
                <c:pt idx="9">
                  <c:v>13.2654</c:v>
                </c:pt>
                <c:pt idx="10">
                  <c:v>14.8308</c:v>
                </c:pt>
                <c:pt idx="11">
                  <c:v>15.647500000000001</c:v>
                </c:pt>
                <c:pt idx="12">
                  <c:v>16.6004</c:v>
                </c:pt>
                <c:pt idx="13">
                  <c:v>17.145</c:v>
                </c:pt>
                <c:pt idx="14">
                  <c:v>18.097899999999999</c:v>
                </c:pt>
                <c:pt idx="15">
                  <c:v>19.051100000000002</c:v>
                </c:pt>
                <c:pt idx="16">
                  <c:v>20.072700000000001</c:v>
                </c:pt>
                <c:pt idx="17">
                  <c:v>21.162199999999999</c:v>
                </c:pt>
                <c:pt idx="18">
                  <c:v>22.047899999999998</c:v>
                </c:pt>
                <c:pt idx="19">
                  <c:v>23.138400000000001</c:v>
                </c:pt>
                <c:pt idx="20">
                  <c:v>23.6843</c:v>
                </c:pt>
                <c:pt idx="21">
                  <c:v>24.162600000000001</c:v>
                </c:pt>
              </c:numCache>
            </c:numRef>
          </c:yVal>
          <c:smooth val="0"/>
        </c:ser>
        <c:ser>
          <c:idx val="1"/>
          <c:order val="1"/>
          <c:tx>
            <c:v>Fitted Data</c:v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'Get curve'!$I$3:$I$200</c:f>
              <c:numCache>
                <c:formatCode>General</c:formatCode>
                <c:ptCount val="1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'Get curve'!$J$3:$J$200</c:f>
              <c:numCache>
                <c:formatCode>0.0000</c:formatCode>
                <c:ptCount val="198"/>
                <c:pt idx="0">
                  <c:v>-8.9414466738530374E-2</c:v>
                </c:pt>
                <c:pt idx="1">
                  <c:v>0.88451508940077761</c:v>
                </c:pt>
                <c:pt idx="2">
                  <c:v>1.8757300918227342</c:v>
                </c:pt>
                <c:pt idx="3">
                  <c:v>2.8799256557353967</c:v>
                </c:pt>
                <c:pt idx="4">
                  <c:v>3.892983941157051</c:v>
                </c:pt>
                <c:pt idx="5">
                  <c:v>4.9109741529162108</c:v>
                </c:pt>
                <c:pt idx="6">
                  <c:v>5.9301525406516147</c:v>
                </c:pt>
                <c:pt idx="7">
                  <c:v>6.946962398812234</c:v>
                </c:pt>
                <c:pt idx="8">
                  <c:v>7.958034066657266</c:v>
                </c:pt>
                <c:pt idx="9">
                  <c:v>8.9601849282561332</c:v>
                </c:pt>
                <c:pt idx="10">
                  <c:v>9.9504194124884897</c:v>
                </c:pt>
                <c:pt idx="11">
                  <c:v>10.925928993044215</c:v>
                </c:pt>
                <c:pt idx="12">
                  <c:v>11.884092188423418</c:v>
                </c:pt>
                <c:pt idx="13">
                  <c:v>12.822474561936435</c:v>
                </c:pt>
                <c:pt idx="14">
                  <c:v>13.738828721703831</c:v>
                </c:pt>
                <c:pt idx="15">
                  <c:v>14.6310943206564</c:v>
                </c:pt>
                <c:pt idx="16">
                  <c:v>15.497398056535156</c:v>
                </c:pt>
                <c:pt idx="17">
                  <c:v>16.336053671891349</c:v>
                </c:pt>
                <c:pt idx="18">
                  <c:v>17.14556195408646</c:v>
                </c:pt>
                <c:pt idx="19">
                  <c:v>17.924610735292188</c:v>
                </c:pt>
                <c:pt idx="20">
                  <c:v>18.672074892490468</c:v>
                </c:pt>
                <c:pt idx="21">
                  <c:v>19.387016347473452</c:v>
                </c:pt>
                <c:pt idx="22">
                  <c:v>20.068684066843534</c:v>
                </c:pt>
                <c:pt idx="23">
                  <c:v>20.716514062013331</c:v>
                </c:pt>
                <c:pt idx="24">
                  <c:v>21.330129389205673</c:v>
                </c:pt>
                <c:pt idx="25">
                  <c:v>21.909340149453648</c:v>
                </c:pt>
                <c:pt idx="26">
                  <c:v>22.454143488600547</c:v>
                </c:pt>
                <c:pt idx="27">
                  <c:v>22.964723597299894</c:v>
                </c:pt>
                <c:pt idx="28">
                  <c:v>23.441451711015446</c:v>
                </c:pt>
                <c:pt idx="29">
                  <c:v>23.884886110021192</c:v>
                </c:pt>
                <c:pt idx="30">
                  <c:v>24.295772119401335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392352"/>
        <c:axId val="455396272"/>
      </c:scatterChart>
      <c:valAx>
        <c:axId val="45539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455396272"/>
        <c:crosses val="autoZero"/>
        <c:crossBetween val="midCat"/>
      </c:valAx>
      <c:valAx>
        <c:axId val="45539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45539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772775378884091E-2"/>
          <c:y val="2.1533546838755243E-2"/>
          <c:w val="0.83775611717890108"/>
          <c:h val="9.04701132541918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167640</xdr:colOff>
      <xdr:row>0</xdr:row>
      <xdr:rowOff>53340</xdr:rowOff>
    </xdr:from>
    <xdr:to>
      <xdr:col>20</xdr:col>
      <xdr:colOff>15240</xdr:colOff>
      <xdr:row>11</xdr:row>
      <xdr:rowOff>129540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167640</xdr:colOff>
          <xdr:row>0</xdr:row>
          <xdr:rowOff>38100</xdr:rowOff>
        </xdr:from>
        <xdr:to>
          <xdr:col>6</xdr:col>
          <xdr:colOff>0</xdr:colOff>
          <xdr:row>0</xdr:row>
          <xdr:rowOff>464820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167640</xdr:colOff>
      <xdr:row>12</xdr:row>
      <xdr:rowOff>15240</xdr:rowOff>
    </xdr:from>
    <xdr:to>
      <xdr:col>20</xdr:col>
      <xdr:colOff>15240</xdr:colOff>
      <xdr:row>28</xdr:row>
      <xdr:rowOff>68580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ranco%20Ing/VBA%20files%20FF/Flow%20Units/06.%20Flow%20units%20-%20Lorenz%20RQI%20Dykstra-Pars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Plots"/>
      <sheetName val="Flow Units Data"/>
      <sheetName val="Dykstra_Parsons"/>
      <sheetName val="Flow Units bar chart data"/>
      <sheetName val="FZI Data"/>
    </sheetNames>
    <sheetDataSet>
      <sheetData sheetId="0" refreshError="1"/>
      <sheetData sheetId="1" refreshError="1"/>
      <sheetData sheetId="2">
        <row r="10">
          <cell r="K10">
            <v>0.23456790123456789</v>
          </cell>
          <cell r="L10">
            <v>1.5186913892039107</v>
          </cell>
          <cell r="U10">
            <v>0.25136085492973609</v>
          </cell>
          <cell r="V10">
            <v>2.0036831014126566</v>
          </cell>
          <cell r="AE10">
            <v>0.19257739827314796</v>
          </cell>
          <cell r="AF10">
            <v>1.3236825238247718</v>
          </cell>
          <cell r="AO10">
            <v>0.28205128205128205</v>
          </cell>
          <cell r="AP10">
            <v>3.6281418149340201</v>
          </cell>
          <cell r="AY10">
            <v>0.26911606066374766</v>
          </cell>
          <cell r="AZ10">
            <v>3.4930649284394639</v>
          </cell>
          <cell r="BI10">
            <v>0.25</v>
          </cell>
          <cell r="BJ10">
            <v>3.4718852349408089</v>
          </cell>
          <cell r="BS10">
            <v>0.27660117702628523</v>
          </cell>
          <cell r="BT10">
            <v>2.9872326901739541</v>
          </cell>
          <cell r="CC10">
            <v>0.28326874213997894</v>
          </cell>
          <cell r="CD10">
            <v>2.4588564717161709</v>
          </cell>
          <cell r="CM10">
            <v>0.25786163522012578</v>
          </cell>
          <cell r="CN10">
            <v>3.9046521346571867</v>
          </cell>
          <cell r="CW10">
            <v>0.15558842562632894</v>
          </cell>
          <cell r="CX10">
            <v>0.7247406111760395</v>
          </cell>
        </row>
        <row r="11">
          <cell r="K11">
            <v>0.23456790123456789</v>
          </cell>
          <cell r="L11">
            <v>1.9893230734784342</v>
          </cell>
          <cell r="U11">
            <v>0.26582278481012656</v>
          </cell>
          <cell r="V11">
            <v>2.3644617987831316</v>
          </cell>
          <cell r="AE11">
            <v>0.19760479041916171</v>
          </cell>
          <cell r="AF11">
            <v>1.4636332128706908</v>
          </cell>
          <cell r="AO11">
            <v>0.27459977567043947</v>
          </cell>
          <cell r="AP11">
            <v>2.7748672256417217</v>
          </cell>
          <cell r="AY11">
            <v>0.26216410657713718</v>
          </cell>
          <cell r="AZ11">
            <v>3.8779845530548007</v>
          </cell>
          <cell r="BI11">
            <v>0.25</v>
          </cell>
          <cell r="BJ11">
            <v>2.5916263490711771</v>
          </cell>
          <cell r="BS11">
            <v>0.25313283208020049</v>
          </cell>
          <cell r="BT11">
            <v>3.2917773344808694</v>
          </cell>
          <cell r="CC11">
            <v>0.26582278481012656</v>
          </cell>
          <cell r="CD11">
            <v>3.386542873618632</v>
          </cell>
          <cell r="CM11">
            <v>0.22080744204216668</v>
          </cell>
          <cell r="CN11">
            <v>3.2013806489701935</v>
          </cell>
          <cell r="CW11">
            <v>0.17768984360278875</v>
          </cell>
          <cell r="CX11">
            <v>1.3630365772990622</v>
          </cell>
        </row>
        <row r="12">
          <cell r="K12">
            <v>0.21012633718960258</v>
          </cell>
          <cell r="L12">
            <v>1.7043384836231363</v>
          </cell>
          <cell r="U12">
            <v>0.23682778409934202</v>
          </cell>
          <cell r="V12">
            <v>2.1693233283309858</v>
          </cell>
          <cell r="AE12">
            <v>0.2443537448825952</v>
          </cell>
          <cell r="AF12">
            <v>1.2720401070228988</v>
          </cell>
          <cell r="AO12">
            <v>0.27328520315265414</v>
          </cell>
          <cell r="AP12">
            <v>2.9072507361501909</v>
          </cell>
          <cell r="AY12">
            <v>0.23213405618531299</v>
          </cell>
          <cell r="AZ12">
            <v>3.7707635698887292</v>
          </cell>
          <cell r="BI12">
            <v>0.25</v>
          </cell>
          <cell r="BJ12">
            <v>1.8904060913094836</v>
          </cell>
          <cell r="BS12">
            <v>0.21951219512195119</v>
          </cell>
          <cell r="BT12">
            <v>3.3923950569210275</v>
          </cell>
          <cell r="CC12">
            <v>0.2966804979253112</v>
          </cell>
          <cell r="CD12">
            <v>3.4262544910204435</v>
          </cell>
          <cell r="CM12">
            <v>0.19760479041916171</v>
          </cell>
          <cell r="CN12">
            <v>2.3325322174526431</v>
          </cell>
          <cell r="CW12">
            <v>0.19823619631901843</v>
          </cell>
          <cell r="CX12">
            <v>1.5928168974298051</v>
          </cell>
        </row>
        <row r="13">
          <cell r="K13">
            <v>0.19047619047619049</v>
          </cell>
          <cell r="L13">
            <v>1.7034331784883725</v>
          </cell>
          <cell r="U13">
            <v>0.21713729308666019</v>
          </cell>
          <cell r="V13">
            <v>1.7802265272230664</v>
          </cell>
          <cell r="AE13">
            <v>0.24046393351113315</v>
          </cell>
          <cell r="AF13">
            <v>2.3877555657422933</v>
          </cell>
          <cell r="AO13">
            <v>0.27459977567043947</v>
          </cell>
          <cell r="AP13">
            <v>3.1133997735922434</v>
          </cell>
          <cell r="AY13">
            <v>0.24395128686760628</v>
          </cell>
          <cell r="AZ13">
            <v>3.0791881724136343</v>
          </cell>
          <cell r="BI13">
            <v>0.256913021618904</v>
          </cell>
          <cell r="BJ13">
            <v>1.7189801323917997</v>
          </cell>
          <cell r="BS13">
            <v>0.21951219512195119</v>
          </cell>
          <cell r="BT13">
            <v>3.0104178558244481</v>
          </cell>
          <cell r="CC13">
            <v>0.25241089096510783</v>
          </cell>
          <cell r="CD13">
            <v>3.1958531190713657</v>
          </cell>
          <cell r="CM13">
            <v>0.19047619047619049</v>
          </cell>
          <cell r="CN13">
            <v>2.5623968028000657</v>
          </cell>
          <cell r="CW13">
            <v>0.17187957765460021</v>
          </cell>
          <cell r="CX13">
            <v>1.1853105369761174</v>
          </cell>
        </row>
        <row r="14">
          <cell r="K14">
            <v>0.19047619047619049</v>
          </cell>
          <cell r="L14">
            <v>1.8660590972688937</v>
          </cell>
          <cell r="U14">
            <v>0.22765664898841093</v>
          </cell>
          <cell r="V14">
            <v>1.5609193162360968</v>
          </cell>
          <cell r="AE14">
            <v>0.10058220798802567</v>
          </cell>
          <cell r="AF14">
            <v>3.2137005342574527</v>
          </cell>
          <cell r="AO14">
            <v>0.23682778409934202</v>
          </cell>
          <cell r="AP14">
            <v>2.6069489715880048</v>
          </cell>
          <cell r="AY14">
            <v>0.27554274343733259</v>
          </cell>
          <cell r="AZ14">
            <v>3.4824972708872108</v>
          </cell>
          <cell r="BI14">
            <v>0.24052548659612213</v>
          </cell>
          <cell r="BJ14">
            <v>2.8993838072967408</v>
          </cell>
          <cell r="BS14">
            <v>0.23456790123456789</v>
          </cell>
          <cell r="BT14">
            <v>3.2446748409631043</v>
          </cell>
          <cell r="CC14">
            <v>0.25</v>
          </cell>
          <cell r="CD14">
            <v>3.3334320452050612</v>
          </cell>
          <cell r="CM14">
            <v>0.19047619047619049</v>
          </cell>
          <cell r="CN14">
            <v>2.4861670047987525</v>
          </cell>
          <cell r="CW14">
            <v>0.13895216400911162</v>
          </cell>
          <cell r="CX14">
            <v>0.92642867958664565</v>
          </cell>
        </row>
        <row r="15">
          <cell r="K15">
            <v>0.21653021252782814</v>
          </cell>
          <cell r="L15">
            <v>1.4886426225403087</v>
          </cell>
          <cell r="AE15">
            <v>9.2239637376440392E-2</v>
          </cell>
          <cell r="AF15">
            <v>1.6431107682117418</v>
          </cell>
          <cell r="AO15">
            <v>0.23456790123456789</v>
          </cell>
          <cell r="AP15">
            <v>2.4954189607105426</v>
          </cell>
          <cell r="AY15">
            <v>0.21182743577314594</v>
          </cell>
          <cell r="AZ15">
            <v>3.4815164502174927</v>
          </cell>
          <cell r="BI15">
            <v>0.22853141354824441</v>
          </cell>
          <cell r="BJ15">
            <v>2.7484310101838152</v>
          </cell>
          <cell r="BS15">
            <v>0.22493477222337907</v>
          </cell>
          <cell r="BT15">
            <v>2.8277616599433788</v>
          </cell>
          <cell r="CC15">
            <v>0.23763907969158032</v>
          </cell>
          <cell r="CD15">
            <v>3.5025228727655913</v>
          </cell>
          <cell r="CM15">
            <v>0.20882441825324868</v>
          </cell>
          <cell r="CN15">
            <v>2.6045835919856937</v>
          </cell>
          <cell r="CW15">
            <v>0.12359550561797752</v>
          </cell>
          <cell r="CX15">
            <v>0.63685798331267773</v>
          </cell>
        </row>
        <row r="16">
          <cell r="K16">
            <v>0.22687343573636942</v>
          </cell>
          <cell r="L16">
            <v>1.2959538486740731</v>
          </cell>
          <cell r="AE16">
            <v>0.18343195266272189</v>
          </cell>
          <cell r="AF16">
            <v>0.80352023882012358</v>
          </cell>
          <cell r="AO16">
            <v>0.26582278481012656</v>
          </cell>
          <cell r="AP16">
            <v>2.9961527076601162</v>
          </cell>
          <cell r="AY16">
            <v>0.22884844612113989</v>
          </cell>
          <cell r="AZ16">
            <v>3.4321119138867195</v>
          </cell>
          <cell r="BI16">
            <v>0.21611596881878659</v>
          </cell>
          <cell r="BJ16">
            <v>1.9748881864511467</v>
          </cell>
          <cell r="BS16">
            <v>0.23977188197371682</v>
          </cell>
          <cell r="BT16">
            <v>2.2306148371622463</v>
          </cell>
          <cell r="CC16">
            <v>0.2450199203187251</v>
          </cell>
          <cell r="CD16">
            <v>3.8791963601249297</v>
          </cell>
          <cell r="CM16">
            <v>0.21159251720461372</v>
          </cell>
          <cell r="CN16">
            <v>2.517040536665184</v>
          </cell>
          <cell r="CW16">
            <v>0.12359550561797752</v>
          </cell>
          <cell r="CX16">
            <v>0.44153276415027432</v>
          </cell>
        </row>
        <row r="17">
          <cell r="K17">
            <v>0.21276802173280299</v>
          </cell>
          <cell r="L17">
            <v>1.2420451499683749</v>
          </cell>
          <cell r="AE17">
            <v>0.26270597891281017</v>
          </cell>
          <cell r="AF17">
            <v>1.955783788875858</v>
          </cell>
          <cell r="AO17">
            <v>0.26582278481012656</v>
          </cell>
          <cell r="AP17">
            <v>2.81079488858833</v>
          </cell>
          <cell r="AY17">
            <v>0.25716584531831438</v>
          </cell>
          <cell r="AZ17">
            <v>4.208792115253174</v>
          </cell>
          <cell r="BI17">
            <v>0.22189638318670576</v>
          </cell>
          <cell r="BJ17">
            <v>1.7943904190658291</v>
          </cell>
          <cell r="BS17">
            <v>0.25968381936134033</v>
          </cell>
          <cell r="BT17">
            <v>2.0678514832077313</v>
          </cell>
          <cell r="CC17">
            <v>0.23695017564692494</v>
          </cell>
          <cell r="CD17">
            <v>4.2531527929162634</v>
          </cell>
          <cell r="CM17">
            <v>0.23823675086676571</v>
          </cell>
          <cell r="CN17">
            <v>1.786533702115406</v>
          </cell>
          <cell r="CW17">
            <v>0.12901222720242059</v>
          </cell>
          <cell r="CX17">
            <v>0.27959031319538685</v>
          </cell>
        </row>
        <row r="18">
          <cell r="K18">
            <v>0.14416475972540047</v>
          </cell>
          <cell r="L18">
            <v>1.1096359259928312</v>
          </cell>
          <cell r="AE18">
            <v>0.25786163522012578</v>
          </cell>
          <cell r="AF18">
            <v>1.9913520593783118</v>
          </cell>
          <cell r="AO18">
            <v>0.25274036955840901</v>
          </cell>
          <cell r="AP18">
            <v>2.4386677874093885</v>
          </cell>
          <cell r="AY18">
            <v>0.25391849529780569</v>
          </cell>
          <cell r="AZ18">
            <v>4.1142270113879915</v>
          </cell>
          <cell r="BI18">
            <v>0.20267474864097754</v>
          </cell>
          <cell r="BJ18">
            <v>1.6950895568856548</v>
          </cell>
          <cell r="BS18">
            <v>0.27448606349489574</v>
          </cell>
          <cell r="BT18">
            <v>2.6226459112506566</v>
          </cell>
          <cell r="CC18">
            <v>0.25502008032128515</v>
          </cell>
          <cell r="CD18">
            <v>4.0932477796524749</v>
          </cell>
          <cell r="CM18">
            <v>0.1916394575657189</v>
          </cell>
          <cell r="CN18">
            <v>0.93703114129480736</v>
          </cell>
        </row>
        <row r="19">
          <cell r="K19">
            <v>7.0331481659870076E-2</v>
          </cell>
          <cell r="L19">
            <v>0.14367372823750443</v>
          </cell>
          <cell r="AE19">
            <v>0.26582278481012656</v>
          </cell>
          <cell r="AF19">
            <v>2.2277040497636422</v>
          </cell>
          <cell r="AO19">
            <v>0.23373018320893221</v>
          </cell>
          <cell r="AP19">
            <v>2.4806991815297845</v>
          </cell>
          <cell r="BI19">
            <v>0.21212121212121213</v>
          </cell>
          <cell r="BJ19">
            <v>1.9887453618514648</v>
          </cell>
          <cell r="BS19">
            <v>0.26582278481012656</v>
          </cell>
          <cell r="BT19">
            <v>2.9610811249561242</v>
          </cell>
          <cell r="CC19">
            <v>0.26326427488630622</v>
          </cell>
          <cell r="CD19">
            <v>4.0292503083587183</v>
          </cell>
        </row>
        <row r="20">
          <cell r="K20">
            <v>9.7176963672470737E-2</v>
          </cell>
          <cell r="L20">
            <v>0.24423661932398666</v>
          </cell>
          <cell r="AE20">
            <v>0.32385453486370919</v>
          </cell>
          <cell r="AF20">
            <v>2.6260682792969678</v>
          </cell>
          <cell r="AO20">
            <v>0.23946455131383246</v>
          </cell>
          <cell r="AP20">
            <v>3.0055961867292083</v>
          </cell>
          <cell r="BI20">
            <v>0.25786163522012578</v>
          </cell>
          <cell r="BJ20">
            <v>2.5865226303036999</v>
          </cell>
          <cell r="BS20">
            <v>0.25</v>
          </cell>
          <cell r="BT20">
            <v>2.9233163908821087</v>
          </cell>
          <cell r="CC20">
            <v>0.24166532152923501</v>
          </cell>
          <cell r="CD20">
            <v>4.0597157237032055</v>
          </cell>
        </row>
        <row r="21">
          <cell r="K21">
            <v>0.19047619047619049</v>
          </cell>
          <cell r="L21">
            <v>0.97722095831751377</v>
          </cell>
          <cell r="AE21">
            <v>0.25305431990476784</v>
          </cell>
          <cell r="AF21">
            <v>2.1597837530928397</v>
          </cell>
          <cell r="AO21">
            <v>0.25</v>
          </cell>
          <cell r="AP21">
            <v>3.1501884705521985</v>
          </cell>
          <cell r="BS21">
            <v>0.26443031092341346</v>
          </cell>
          <cell r="BT21">
            <v>2.8634443772361577</v>
          </cell>
          <cell r="CC21">
            <v>0.29542068786838527</v>
          </cell>
          <cell r="CD21">
            <v>3.700407420009681</v>
          </cell>
        </row>
        <row r="22">
          <cell r="K22">
            <v>0.19047619047619049</v>
          </cell>
          <cell r="L22">
            <v>0.97726068463076921</v>
          </cell>
          <cell r="AE22">
            <v>0.23946455131383246</v>
          </cell>
          <cell r="AF22">
            <v>3.0608719189037861</v>
          </cell>
          <cell r="AO22">
            <v>0.27328520315265414</v>
          </cell>
          <cell r="AP22">
            <v>3.4386270796753253</v>
          </cell>
          <cell r="BS22">
            <v>0.29105556703160501</v>
          </cell>
          <cell r="BT22">
            <v>2.6380952047044199</v>
          </cell>
          <cell r="CC22">
            <v>0.2906556530717605</v>
          </cell>
          <cell r="CD22">
            <v>2.8141451368318813</v>
          </cell>
        </row>
        <row r="23">
          <cell r="K23">
            <v>0.19047619047619049</v>
          </cell>
          <cell r="L23">
            <v>0.97730040932918871</v>
          </cell>
          <cell r="AE23">
            <v>0.27388535031847133</v>
          </cell>
          <cell r="AF23">
            <v>3.8632477119285178</v>
          </cell>
          <cell r="AO23">
            <v>0.25786163522012578</v>
          </cell>
          <cell r="AP23">
            <v>3.1693482133651663</v>
          </cell>
          <cell r="BS23">
            <v>0.31707188578352608</v>
          </cell>
          <cell r="BT23">
            <v>2.5697649192680521</v>
          </cell>
          <cell r="CC23">
            <v>0.25</v>
          </cell>
          <cell r="CD23">
            <v>3.3698403343185261</v>
          </cell>
        </row>
        <row r="24">
          <cell r="K24">
            <v>0.19813570084947821</v>
          </cell>
          <cell r="L24">
            <v>0.99245759228895392</v>
          </cell>
          <cell r="AO24">
            <v>0.25</v>
          </cell>
          <cell r="AP24">
            <v>2.91699070961839</v>
          </cell>
          <cell r="BS24">
            <v>0.31578947368421051</v>
          </cell>
          <cell r="BT24">
            <v>2.4803184439368535</v>
          </cell>
          <cell r="CC24">
            <v>0.2683916793505835</v>
          </cell>
          <cell r="CD24">
            <v>3.9932211963841189</v>
          </cell>
        </row>
        <row r="25">
          <cell r="K25">
            <v>0.21951219512195119</v>
          </cell>
          <cell r="L25">
            <v>1.267936337343305</v>
          </cell>
          <cell r="BS25">
            <v>0.30794182274772419</v>
          </cell>
          <cell r="BT25">
            <v>2.4736898492471591</v>
          </cell>
        </row>
        <row r="26">
          <cell r="BS26">
            <v>0.29745439447803407</v>
          </cell>
          <cell r="BT26">
            <v>2.0345966557014274</v>
          </cell>
        </row>
        <row r="27">
          <cell r="BS27">
            <v>0.29032258064516131</v>
          </cell>
          <cell r="BT27">
            <v>1.3089611826856355</v>
          </cell>
        </row>
      </sheetData>
      <sheetData sheetId="3" refreshError="1"/>
      <sheetData sheetId="4" refreshError="1"/>
      <sheetData sheetId="5">
        <row r="2">
          <cell r="D2" t="str">
            <v>FZI: 2</v>
          </cell>
          <cell r="E2" t="str">
            <v>FZI: 5</v>
          </cell>
          <cell r="F2" t="str">
            <v>FZI: 9</v>
          </cell>
          <cell r="G2" t="str">
            <v>FZI: 11</v>
          </cell>
          <cell r="H2" t="str">
            <v>FZI: 15</v>
          </cell>
          <cell r="I2" t="str">
            <v>FZI: 20</v>
          </cell>
        </row>
        <row r="6">
          <cell r="C6">
            <v>1</v>
          </cell>
        </row>
        <row r="7">
          <cell r="C7">
            <v>1E-3</v>
          </cell>
        </row>
        <row r="9">
          <cell r="D9">
            <v>2</v>
          </cell>
          <cell r="E9">
            <v>5.0000000000000018</v>
          </cell>
          <cell r="F9">
            <v>9.0000000000000018</v>
          </cell>
          <cell r="G9">
            <v>11.000000000000007</v>
          </cell>
          <cell r="H9">
            <v>15.000000000000007</v>
          </cell>
          <cell r="I9">
            <v>20.000000000000007</v>
          </cell>
        </row>
        <row r="10">
          <cell r="D10">
            <v>1.9999999999999987E-3</v>
          </cell>
          <cell r="E10">
            <v>4.9999999999999975E-3</v>
          </cell>
          <cell r="F10">
            <v>8.9999999999999924E-3</v>
          </cell>
          <cell r="G10">
            <v>1.0999999999999994E-2</v>
          </cell>
          <cell r="H10">
            <v>1.4999999999999996E-2</v>
          </cell>
          <cell r="I10">
            <v>1.9999999999999993E-2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J33"/>
  <sheetViews>
    <sheetView showGridLines="0" tabSelected="1" workbookViewId="0">
      <selection activeCell="G15" sqref="G15"/>
    </sheetView>
  </sheetViews>
  <sheetFormatPr defaultRowHeight="12" x14ac:dyDescent="0.25"/>
  <cols>
    <col min="1" max="1" width="2.140625" customWidth="1"/>
    <col min="4" max="4" width="3.5703125" customWidth="1"/>
    <col min="6" max="6" width="12.42578125" bestFit="1" customWidth="1"/>
    <col min="7" max="8" width="4" customWidth="1"/>
    <col min="9" max="9" width="12" bestFit="1" customWidth="1"/>
    <col min="10" max="10" width="9.5703125" bestFit="1" customWidth="1"/>
  </cols>
  <sheetData>
    <row r="1" spans="2:10" ht="46.2" customHeight="1" x14ac:dyDescent="0.25"/>
    <row r="2" spans="2:10" x14ac:dyDescent="0.25">
      <c r="B2" s="2" t="s">
        <v>2</v>
      </c>
      <c r="C2" s="2" t="s">
        <v>1</v>
      </c>
      <c r="E2" s="7" t="s">
        <v>3</v>
      </c>
      <c r="F2" s="3"/>
      <c r="I2" s="2" t="s">
        <v>2</v>
      </c>
      <c r="J2" s="2" t="s">
        <v>1</v>
      </c>
    </row>
    <row r="3" spans="2:10" x14ac:dyDescent="0.25">
      <c r="B3" s="10">
        <v>0.186501</v>
      </c>
      <c r="C3" s="10">
        <v>6.8298200000000003E-2</v>
      </c>
      <c r="E3" s="5" t="s">
        <v>4</v>
      </c>
      <c r="F3" s="6">
        <v>4</v>
      </c>
      <c r="I3">
        <v>0</v>
      </c>
      <c r="J3" s="11">
        <f>($F$6*I3^4)+($F$7*I3^3)+($F$8*I3^2)+($F$9*I3^1)+$F$10</f>
        <v>-8.9414466738530374E-2</v>
      </c>
    </row>
    <row r="4" spans="2:10" x14ac:dyDescent="0.25">
      <c r="B4" s="10">
        <v>1.36083</v>
      </c>
      <c r="C4" s="10">
        <v>1.29267</v>
      </c>
      <c r="I4">
        <v>1</v>
      </c>
      <c r="J4" s="11">
        <f>($F$6*I4^4)+($F$7*I4^3)+($F$8*I4^2)+($F$9*I4^1)+$F$10</f>
        <v>0.88451508940077761</v>
      </c>
    </row>
    <row r="5" spans="2:10" x14ac:dyDescent="0.25">
      <c r="B5" s="10">
        <v>2.4746999999999999</v>
      </c>
      <c r="C5" s="10">
        <v>2.38117</v>
      </c>
      <c r="E5" s="8" t="s">
        <v>9</v>
      </c>
      <c r="F5" s="9"/>
      <c r="I5">
        <v>2</v>
      </c>
      <c r="J5" s="11">
        <f>($F$6*I5^4)+($F$7*I5^3)+($F$8*I5^2)+($F$9*I5^1)+$F$10</f>
        <v>1.8757300918227342</v>
      </c>
    </row>
    <row r="6" spans="2:10" x14ac:dyDescent="0.25">
      <c r="B6" s="10">
        <v>4.2072500000000002</v>
      </c>
      <c r="C6" s="10">
        <v>4.0819200000000002</v>
      </c>
      <c r="E6" s="1" t="s">
        <v>5</v>
      </c>
      <c r="F6" s="1">
        <f>INDEX(LINEST($C$3:$C$24,$B$3:$B$24^{1,2,3,4}),1,1)</f>
        <v>7.7935337594954052E-6</v>
      </c>
      <c r="G6" s="1"/>
      <c r="I6">
        <v>3</v>
      </c>
      <c r="J6" s="11">
        <f>($F$6*I6^4)+($F$7*I6^3)+($F$8*I6^2)+($F$9*I6^1)+$F$10</f>
        <v>2.8799256557353967</v>
      </c>
    </row>
    <row r="7" spans="2:10" x14ac:dyDescent="0.25">
      <c r="B7" s="10">
        <v>6.4349999999999996</v>
      </c>
      <c r="C7" s="10">
        <v>6.2589100000000002</v>
      </c>
      <c r="E7" s="1" t="s">
        <v>6</v>
      </c>
      <c r="F7" s="1">
        <f>INDEX(LINEST($C$3:$C$24,$B$3:$B$24^{1,2,3,4}),1,2)</f>
        <v>-7.6424200121406936E-4</v>
      </c>
      <c r="G7" s="1"/>
      <c r="I7">
        <v>4</v>
      </c>
      <c r="J7" s="11">
        <f>($F$6*I7^4)+($F$7*I7^3)+($F$8*I7^2)+($F$9*I7^1)+$F$10</f>
        <v>3.892983941157051</v>
      </c>
    </row>
    <row r="8" spans="2:10" x14ac:dyDescent="0.25">
      <c r="B8" s="10">
        <v>7.9797599999999997</v>
      </c>
      <c r="C8" s="10">
        <v>7.8913599999999997</v>
      </c>
      <c r="E8" t="s">
        <v>7</v>
      </c>
      <c r="F8">
        <f>INDEX(LINEST($C$3:$C$24,$B$3:$B$24^{1,2,3,4}),1,3)</f>
        <v>1.0880894408650097E-2</v>
      </c>
      <c r="G8" s="1"/>
      <c r="I8">
        <v>5</v>
      </c>
      <c r="J8" s="11">
        <f>($F$6*I8^4)+($F$7*I8^3)+($F$8*I8^2)+($F$9*I8^1)+$F$10</f>
        <v>4.9109741529162108</v>
      </c>
    </row>
    <row r="9" spans="2:10" x14ac:dyDescent="0.25">
      <c r="B9" s="10">
        <v>8.9688700000000008</v>
      </c>
      <c r="C9" s="10">
        <v>8.9116999999999997</v>
      </c>
      <c r="E9" s="1" t="s">
        <v>8</v>
      </c>
      <c r="F9" s="1">
        <f>INDEX(LINEST($C$3:$C$24,$B$3:$B$24^{1,2,3,4}),1,4)</f>
        <v>0.96380511019811244</v>
      </c>
      <c r="G9" s="1"/>
      <c r="I9">
        <v>6</v>
      </c>
      <c r="J9" s="11">
        <f>($F$6*I9^4)+($F$7*I9^3)+($F$8*I9^2)+($F$9*I9^1)+$F$10</f>
        <v>5.9301525406516147</v>
      </c>
    </row>
    <row r="10" spans="2:10" x14ac:dyDescent="0.25">
      <c r="B10" s="10">
        <v>10.761900000000001</v>
      </c>
      <c r="C10" s="10">
        <v>10.7483</v>
      </c>
      <c r="E10" s="4" t="s">
        <v>0</v>
      </c>
      <c r="F10" s="1">
        <f>INDEX(LINEST($C$3:$C$24,$B$3:$B$24^{1,2,3,4}),1,5)</f>
        <v>-8.9414466738530374E-2</v>
      </c>
      <c r="G10" s="1"/>
      <c r="I10">
        <v>7</v>
      </c>
      <c r="J10" s="11">
        <f>($F$6*I10^4)+($F$7*I10^3)+($F$8*I10^2)+($F$9*I10^1)+$F$10</f>
        <v>6.946962398812234</v>
      </c>
    </row>
    <row r="11" spans="2:10" x14ac:dyDescent="0.25">
      <c r="B11" s="10">
        <v>11.9375</v>
      </c>
      <c r="C11" s="10">
        <v>11.9048</v>
      </c>
      <c r="E11" s="4"/>
      <c r="F11" s="1"/>
      <c r="G11" s="1"/>
      <c r="I11">
        <v>8</v>
      </c>
      <c r="J11" s="11">
        <f>($F$6*I11^4)+($F$7*I11^3)+($F$8*I11^2)+($F$9*I11^1)+$F$10</f>
        <v>7.958034066657266</v>
      </c>
    </row>
    <row r="12" spans="2:10" x14ac:dyDescent="0.25">
      <c r="B12" s="10">
        <v>13.298299999999999</v>
      </c>
      <c r="C12" s="10">
        <v>13.2654</v>
      </c>
      <c r="I12">
        <v>9</v>
      </c>
      <c r="J12" s="11">
        <f>($F$6*I12^4)+($F$7*I12^3)+($F$8*I12^2)+($F$9*I12^1)+$F$10</f>
        <v>8.9601849282561332</v>
      </c>
    </row>
    <row r="13" spans="2:10" x14ac:dyDescent="0.25">
      <c r="B13" s="10">
        <v>15.2225</v>
      </c>
      <c r="C13" s="10">
        <v>14.8308</v>
      </c>
      <c r="I13">
        <v>10</v>
      </c>
      <c r="J13" s="11">
        <f>($F$6*I13^4)+($F$7*I13^3)+($F$8*I13^2)+($F$9*I13^1)+$F$10</f>
        <v>9.9504194124884897</v>
      </c>
    </row>
    <row r="14" spans="2:10" x14ac:dyDescent="0.25">
      <c r="B14" s="10">
        <v>16.215499999999999</v>
      </c>
      <c r="C14" s="10">
        <v>15.647500000000001</v>
      </c>
      <c r="I14">
        <v>11</v>
      </c>
      <c r="J14" s="11">
        <f>($F$6*I14^4)+($F$7*I14^3)+($F$8*I14^2)+($F$9*I14^1)+$F$10</f>
        <v>10.925928993044215</v>
      </c>
    </row>
    <row r="15" spans="2:10" x14ac:dyDescent="0.25">
      <c r="B15" s="10">
        <v>17.3949</v>
      </c>
      <c r="C15" s="10">
        <v>16.6004</v>
      </c>
      <c r="I15">
        <v>12</v>
      </c>
      <c r="J15" s="11">
        <f>($F$6*I15^4)+($F$7*I15^3)+($F$8*I15^2)+($F$9*I15^1)+$F$10</f>
        <v>11.884092188423418</v>
      </c>
    </row>
    <row r="16" spans="2:10" x14ac:dyDescent="0.25">
      <c r="B16" s="10">
        <v>18.0779</v>
      </c>
      <c r="C16" s="10">
        <v>17.145</v>
      </c>
      <c r="I16">
        <v>13</v>
      </c>
      <c r="J16" s="11">
        <f>($F$6*I16^4)+($F$7*I16^3)+($F$8*I16^2)+($F$9*I16^1)+$F$10</f>
        <v>12.822474561936435</v>
      </c>
    </row>
    <row r="17" spans="2:10" x14ac:dyDescent="0.25">
      <c r="B17" s="10">
        <v>19.257400000000001</v>
      </c>
      <c r="C17" s="10">
        <v>18.097899999999999</v>
      </c>
      <c r="I17">
        <v>14</v>
      </c>
      <c r="J17" s="11">
        <f>($F$6*I17^4)+($F$7*I17^3)+($F$8*I17^2)+($F$9*I17^1)+$F$10</f>
        <v>13.738828721703831</v>
      </c>
    </row>
    <row r="18" spans="2:10" x14ac:dyDescent="0.25">
      <c r="B18" s="10">
        <v>20.562899999999999</v>
      </c>
      <c r="C18" s="10">
        <v>19.051100000000002</v>
      </c>
      <c r="I18">
        <v>15</v>
      </c>
      <c r="J18" s="11">
        <f>($F$6*I18^4)+($F$7*I18^3)+($F$8*I18^2)+($F$9*I18^1)+$F$10</f>
        <v>14.6310943206564</v>
      </c>
    </row>
    <row r="19" spans="2:10" x14ac:dyDescent="0.25">
      <c r="B19" s="10">
        <v>22.119199999999999</v>
      </c>
      <c r="C19" s="10">
        <v>20.072700000000001</v>
      </c>
      <c r="I19">
        <v>16</v>
      </c>
      <c r="J19" s="11">
        <f>($F$6*I19^4)+($F$7*I19^3)+($F$8*I19^2)+($F$9*I19^1)+$F$10</f>
        <v>15.497398056535156</v>
      </c>
    </row>
    <row r="20" spans="2:10" x14ac:dyDescent="0.25">
      <c r="B20" s="10">
        <v>23.674199999999999</v>
      </c>
      <c r="C20" s="10">
        <v>21.162199999999999</v>
      </c>
      <c r="I20">
        <v>17</v>
      </c>
      <c r="J20" s="11">
        <f>($F$6*I20^4)+($F$7*I20^3)+($F$8*I20^2)+($F$9*I20^1)+$F$10</f>
        <v>16.336053671891349</v>
      </c>
    </row>
    <row r="21" spans="2:10" x14ac:dyDescent="0.25">
      <c r="B21" s="10">
        <v>25.170100000000001</v>
      </c>
      <c r="C21" s="10">
        <v>22.047899999999998</v>
      </c>
      <c r="I21">
        <v>18</v>
      </c>
      <c r="J21" s="11">
        <f>($F$6*I21^4)+($F$7*I21^3)+($F$8*I21^2)+($F$9*I21^1)+$F$10</f>
        <v>17.14556195408646</v>
      </c>
    </row>
    <row r="22" spans="2:10" x14ac:dyDescent="0.25">
      <c r="B22" s="10">
        <v>27.1663</v>
      </c>
      <c r="C22" s="10">
        <v>23.138400000000001</v>
      </c>
      <c r="I22">
        <v>19</v>
      </c>
      <c r="J22" s="11">
        <f>($F$6*I22^4)+($F$7*I22^3)+($F$8*I22^2)+($F$9*I22^1)+$F$10</f>
        <v>17.924610735292188</v>
      </c>
    </row>
    <row r="23" spans="2:10" x14ac:dyDescent="0.25">
      <c r="B23" s="10">
        <v>28.479500000000002</v>
      </c>
      <c r="C23" s="10">
        <v>23.6843</v>
      </c>
      <c r="I23">
        <v>20</v>
      </c>
      <c r="J23" s="11">
        <f>($F$6*I23^4)+($F$7*I23^3)+($F$8*I23^2)+($F$9*I23^1)+$F$10</f>
        <v>18.672074892490468</v>
      </c>
    </row>
    <row r="24" spans="2:10" x14ac:dyDescent="0.25">
      <c r="B24" s="10">
        <v>29.856999999999999</v>
      </c>
      <c r="C24" s="10">
        <v>24.162600000000001</v>
      </c>
      <c r="I24">
        <v>21</v>
      </c>
      <c r="J24" s="11">
        <f>($F$6*I24^4)+($F$7*I24^3)+($F$8*I24^2)+($F$9*I24^1)+$F$10</f>
        <v>19.387016347473452</v>
      </c>
    </row>
    <row r="25" spans="2:10" x14ac:dyDescent="0.25">
      <c r="B25" s="10"/>
      <c r="C25" s="10"/>
      <c r="I25">
        <v>22</v>
      </c>
      <c r="J25" s="11">
        <f>($F$6*I25^4)+($F$7*I25^3)+($F$8*I25^2)+($F$9*I25^1)+$F$10</f>
        <v>20.068684066843534</v>
      </c>
    </row>
    <row r="26" spans="2:10" x14ac:dyDescent="0.25">
      <c r="B26" s="10"/>
      <c r="C26" s="10"/>
      <c r="I26">
        <v>23</v>
      </c>
      <c r="J26" s="11">
        <f>($F$6*I26^4)+($F$7*I26^3)+($F$8*I26^2)+($F$9*I26^1)+$F$10</f>
        <v>20.716514062013331</v>
      </c>
    </row>
    <row r="27" spans="2:10" x14ac:dyDescent="0.25">
      <c r="B27" s="10"/>
      <c r="C27" s="10"/>
      <c r="I27">
        <v>24</v>
      </c>
      <c r="J27" s="11">
        <f>($F$6*I27^4)+($F$7*I27^3)+($F$8*I27^2)+($F$9*I27^1)+$F$10</f>
        <v>21.330129389205673</v>
      </c>
    </row>
    <row r="28" spans="2:10" x14ac:dyDescent="0.25">
      <c r="I28">
        <v>25</v>
      </c>
      <c r="J28" s="11">
        <f>($F$6*I28^4)+($F$7*I28^3)+($F$8*I28^2)+($F$9*I28^1)+$F$10</f>
        <v>21.909340149453648</v>
      </c>
    </row>
    <row r="29" spans="2:10" x14ac:dyDescent="0.25">
      <c r="I29">
        <v>26</v>
      </c>
      <c r="J29" s="11">
        <f>($F$6*I29^4)+($F$7*I29^3)+($F$8*I29^2)+($F$9*I29^1)+$F$10</f>
        <v>22.454143488600547</v>
      </c>
    </row>
    <row r="30" spans="2:10" x14ac:dyDescent="0.25">
      <c r="I30">
        <v>27</v>
      </c>
      <c r="J30" s="11">
        <f>($F$6*I30^4)+($F$7*I30^3)+($F$8*I30^2)+($F$9*I30^1)+$F$10</f>
        <v>22.964723597299894</v>
      </c>
    </row>
    <row r="31" spans="2:10" x14ac:dyDescent="0.25">
      <c r="I31">
        <v>28</v>
      </c>
      <c r="J31" s="11">
        <f>($F$6*I31^4)+($F$7*I31^3)+($F$8*I31^2)+($F$9*I31^1)+$F$10</f>
        <v>23.441451711015446</v>
      </c>
    </row>
    <row r="32" spans="2:10" x14ac:dyDescent="0.25">
      <c r="I32">
        <v>29</v>
      </c>
      <c r="J32" s="11">
        <f>($F$6*I32^4)+($F$7*I32^3)+($F$8*I32^2)+($F$9*I32^1)+$F$10</f>
        <v>23.884886110021192</v>
      </c>
    </row>
    <row r="33" spans="9:10" x14ac:dyDescent="0.25">
      <c r="I33">
        <v>30</v>
      </c>
      <c r="J33" s="11">
        <f>($F$6*I33^4)+($F$7*I33^3)+($F$8*I33^2)+($F$9*I33^1)+$F$10</f>
        <v>24.295772119401335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autoPict="0" r:id="rId4">
            <anchor moveWithCells="1">
              <from>
                <xdr:col>3</xdr:col>
                <xdr:colOff>167640</xdr:colOff>
                <xdr:row>0</xdr:row>
                <xdr:rowOff>38100</xdr:rowOff>
              </from>
              <to>
                <xdr:col>6</xdr:col>
                <xdr:colOff>0</xdr:colOff>
                <xdr:row>0</xdr:row>
                <xdr:rowOff>464820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Get curve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</dc:creator>
  <cp:lastModifiedBy>Franco</cp:lastModifiedBy>
  <dcterms:created xsi:type="dcterms:W3CDTF">2020-10-19T22:47:53Z</dcterms:created>
  <dcterms:modified xsi:type="dcterms:W3CDTF">2020-10-21T14:38:20Z</dcterms:modified>
</cp:coreProperties>
</file>